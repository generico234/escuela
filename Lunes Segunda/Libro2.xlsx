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uela\Lunes Segunda\"/>
    </mc:Choice>
  </mc:AlternateContent>
  <xr:revisionPtr revIDLastSave="0" documentId="8_{B164B27F-1521-444B-AFB2-862311CC642D}" xr6:coauthVersionLast="36" xr6:coauthVersionMax="36" xr10:uidLastSave="{00000000-0000-0000-0000-000000000000}"/>
  <bookViews>
    <workbookView xWindow="0" yWindow="0" windowWidth="24000" windowHeight="9675" activeTab="3" xr2:uid="{B3676783-A05A-4374-AFDE-B268D4BDFF69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4" l="1"/>
  <c r="E28" i="1" l="1"/>
  <c r="G42" i="2"/>
  <c r="D41" i="2"/>
  <c r="E40" i="2"/>
  <c r="C34" i="2"/>
  <c r="D36" i="2"/>
  <c r="D35" i="2"/>
  <c r="E34" i="2"/>
  <c r="D30" i="2"/>
  <c r="D29" i="2"/>
  <c r="E28" i="2"/>
  <c r="C28" i="2"/>
  <c r="E24" i="2"/>
  <c r="D24" i="2"/>
  <c r="C24" i="2"/>
  <c r="E23" i="2"/>
  <c r="D23" i="2"/>
  <c r="C23" i="2"/>
  <c r="E22" i="2"/>
  <c r="D22" i="2"/>
  <c r="C22" i="2"/>
  <c r="E18" i="2"/>
  <c r="E17" i="2"/>
  <c r="E16" i="2"/>
  <c r="C18" i="2"/>
  <c r="C17" i="2"/>
  <c r="C16" i="2"/>
  <c r="D18" i="2"/>
  <c r="D17" i="2"/>
  <c r="D16" i="2"/>
  <c r="E12" i="2"/>
  <c r="D12" i="2"/>
  <c r="C12" i="2"/>
  <c r="C11" i="2"/>
  <c r="D11" i="2"/>
  <c r="E11" i="2"/>
  <c r="E10" i="2"/>
  <c r="D10" i="2"/>
  <c r="C10" i="2"/>
  <c r="H50" i="1"/>
  <c r="C49" i="1"/>
  <c r="D48" i="1"/>
  <c r="E47" i="1"/>
  <c r="C42" i="1"/>
  <c r="D41" i="1"/>
  <c r="F40" i="1"/>
  <c r="E40" i="1"/>
  <c r="C39" i="1"/>
  <c r="C35" i="1"/>
  <c r="F34" i="1"/>
  <c r="E34" i="1"/>
  <c r="D34" i="1"/>
  <c r="F33" i="1"/>
  <c r="E33" i="1"/>
  <c r="D33" i="1"/>
  <c r="C32" i="1"/>
  <c r="F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1" i="1"/>
  <c r="F20" i="1"/>
  <c r="F19" i="1"/>
  <c r="F18" i="1"/>
  <c r="E21" i="1"/>
  <c r="E20" i="1"/>
  <c r="E19" i="1"/>
  <c r="E18" i="1"/>
  <c r="D18" i="1"/>
  <c r="D19" i="1"/>
  <c r="D20" i="1"/>
  <c r="D21" i="1"/>
  <c r="C21" i="1"/>
  <c r="C20" i="1"/>
  <c r="C19" i="1"/>
  <c r="C18" i="1"/>
  <c r="F14" i="1"/>
  <c r="E14" i="1"/>
  <c r="D14" i="1"/>
  <c r="C14" i="1"/>
  <c r="F13" i="1"/>
  <c r="E13" i="1"/>
  <c r="D13" i="1"/>
  <c r="C13" i="1"/>
  <c r="F12" i="1"/>
  <c r="E12" i="1"/>
  <c r="D12" i="1"/>
  <c r="C12" i="1"/>
  <c r="C11" i="1"/>
  <c r="F11" i="1"/>
  <c r="E11" i="1"/>
  <c r="D11" i="1"/>
</calcChain>
</file>

<file path=xl/sharedStrings.xml><?xml version="1.0" encoding="utf-8"?>
<sst xmlns="http://schemas.openxmlformats.org/spreadsheetml/2006/main" count="250" uniqueCount="53">
  <si>
    <t>Empresa 1</t>
  </si>
  <si>
    <t>Empresa 2</t>
  </si>
  <si>
    <t>Empresa 3</t>
  </si>
  <si>
    <t>Empresa 4</t>
  </si>
  <si>
    <t>Carpinteria</t>
  </si>
  <si>
    <t>Electrónica</t>
  </si>
  <si>
    <t>Informatica</t>
  </si>
  <si>
    <t>Mecánica</t>
  </si>
  <si>
    <t>Resultado Final</t>
  </si>
  <si>
    <t>Escenarios</t>
  </si>
  <si>
    <t>Iluminación</t>
  </si>
  <si>
    <t>Sonido</t>
  </si>
  <si>
    <t>sala 1</t>
  </si>
  <si>
    <t>sala 2</t>
  </si>
  <si>
    <t>sala 3</t>
  </si>
  <si>
    <t>Equipo 1</t>
  </si>
  <si>
    <t>Equipo 2</t>
  </si>
  <si>
    <t>Equipo 3</t>
  </si>
  <si>
    <t>Necesidad</t>
  </si>
  <si>
    <t>Disponible</t>
  </si>
  <si>
    <t>1000(4)</t>
  </si>
  <si>
    <t>4-4=0</t>
  </si>
  <si>
    <t>7-4=3</t>
  </si>
  <si>
    <t>4-1=3</t>
  </si>
  <si>
    <t>1200(1)</t>
  </si>
  <si>
    <t>5-4-1=0</t>
  </si>
  <si>
    <t>1200(3)</t>
  </si>
  <si>
    <t>6-3-3=0</t>
  </si>
  <si>
    <t>1300(3)</t>
  </si>
  <si>
    <t>Cliente 1</t>
  </si>
  <si>
    <t>Cliente 2</t>
  </si>
  <si>
    <t>Cliente 3</t>
  </si>
  <si>
    <t>Cliente 4</t>
  </si>
  <si>
    <t>Disponibilidad</t>
  </si>
  <si>
    <t>Impresora 1</t>
  </si>
  <si>
    <t>Impresora 2</t>
  </si>
  <si>
    <t>Impresora 3</t>
  </si>
  <si>
    <t>Impresora 4</t>
  </si>
  <si>
    <t>Demanda</t>
  </si>
  <si>
    <t>60(26)</t>
  </si>
  <si>
    <t>34-26=8</t>
  </si>
  <si>
    <t>63(47)</t>
  </si>
  <si>
    <t>49-47=2</t>
  </si>
  <si>
    <t>62(18)</t>
  </si>
  <si>
    <t>19-18=1</t>
  </si>
  <si>
    <t>60(25)</t>
  </si>
  <si>
    <t>34-25=9</t>
  </si>
  <si>
    <t>63(1)</t>
  </si>
  <si>
    <t>34-26=8-1=7</t>
  </si>
  <si>
    <t>64(2)</t>
  </si>
  <si>
    <t>49-47=2-2=0</t>
  </si>
  <si>
    <t>34-25=9-2=7</t>
  </si>
  <si>
    <t>65(7)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</si>
</sst>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[$USD]\ * #,##0.00_-;\-[$USD]\ * #,##0.00_-;_-[$USD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">
    <xf numFmtId="0" fontId="0" fillId="0" borderId="0" xfId="0"/>
    <xf numFmtId="0" fontId="2" fillId="2" borderId="0" xfId="2"/>
    <xf numFmtId="0" fontId="0" fillId="0" borderId="1" xfId="0" applyBorder="1"/>
    <xf numFmtId="164" fontId="0" fillId="0" borderId="0" xfId="0" applyNumberFormat="1"/>
    <xf numFmtId="164" fontId="2" fillId="2" borderId="0" xfId="2" applyNumberFormat="1"/>
    <xf numFmtId="164" fontId="0" fillId="0" borderId="0" xfId="1" applyNumberFormat="1" applyFont="1"/>
    <xf numFmtId="164" fontId="0" fillId="0" borderId="1" xfId="0" applyNumberFormat="1" applyBorder="1"/>
    <xf numFmtId="0" fontId="0" fillId="3" borderId="0" xfId="0" applyFill="1"/>
    <xf numFmtId="6" fontId="0" fillId="0" borderId="0" xfId="0" applyNumberFormat="1"/>
    <xf numFmtId="0" fontId="0" fillId="0" borderId="2" xfId="0" applyBorder="1"/>
    <xf numFmtId="44" fontId="0" fillId="0" borderId="2" xfId="1" applyFont="1" applyBorder="1"/>
    <xf numFmtId="44" fontId="0" fillId="0" borderId="0" xfId="1" applyFont="1"/>
  </cellXfs>
  <cellStyles count="3">
    <cellStyle name="Incorrecto" xfId="2" builtinId="27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5F9-D3DF-421B-A02A-B024263964A0}">
  <dimension ref="B3:H50"/>
  <sheetViews>
    <sheetView topLeftCell="A31" workbookViewId="0">
      <selection activeCell="F42" sqref="F42"/>
    </sheetView>
  </sheetViews>
  <sheetFormatPr baseColWidth="10" defaultRowHeight="15" x14ac:dyDescent="0.25"/>
  <cols>
    <col min="8" max="8" width="23" customWidth="1"/>
  </cols>
  <sheetData>
    <row r="3" spans="2:6" x14ac:dyDescent="0.25">
      <c r="C3" t="s">
        <v>4</v>
      </c>
      <c r="D3" t="s">
        <v>5</v>
      </c>
      <c r="E3" t="s">
        <v>6</v>
      </c>
      <c r="F3" t="s">
        <v>7</v>
      </c>
    </row>
    <row r="4" spans="2:6" x14ac:dyDescent="0.25">
      <c r="B4" t="s">
        <v>0</v>
      </c>
      <c r="C4">
        <v>5000000</v>
      </c>
      <c r="D4">
        <v>10000000</v>
      </c>
      <c r="E4">
        <v>9000000</v>
      </c>
      <c r="F4">
        <v>12000000</v>
      </c>
    </row>
    <row r="5" spans="2:6" x14ac:dyDescent="0.25">
      <c r="B5" t="s">
        <v>1</v>
      </c>
      <c r="C5">
        <v>7000000</v>
      </c>
      <c r="D5">
        <v>10000000</v>
      </c>
      <c r="E5">
        <v>8000000</v>
      </c>
      <c r="F5">
        <v>11000000</v>
      </c>
    </row>
    <row r="6" spans="2:6" x14ac:dyDescent="0.25">
      <c r="B6" t="s">
        <v>2</v>
      </c>
      <c r="C6">
        <v>9000000</v>
      </c>
      <c r="D6">
        <v>10000000</v>
      </c>
      <c r="E6">
        <v>11000000</v>
      </c>
      <c r="F6">
        <v>15000000</v>
      </c>
    </row>
    <row r="7" spans="2:6" x14ac:dyDescent="0.25">
      <c r="B7" t="s">
        <v>3</v>
      </c>
      <c r="C7">
        <v>6000000</v>
      </c>
      <c r="D7">
        <v>13000000</v>
      </c>
      <c r="E7">
        <v>12000000</v>
      </c>
      <c r="F7">
        <v>15000000</v>
      </c>
    </row>
    <row r="10" spans="2:6" x14ac:dyDescent="0.25">
      <c r="C10" t="s">
        <v>4</v>
      </c>
      <c r="D10" t="s">
        <v>5</v>
      </c>
      <c r="E10" t="s">
        <v>6</v>
      </c>
      <c r="F10" t="s">
        <v>7</v>
      </c>
    </row>
    <row r="11" spans="2:6" x14ac:dyDescent="0.25">
      <c r="B11" t="s">
        <v>0</v>
      </c>
      <c r="C11">
        <f>5000000-5000000</f>
        <v>0</v>
      </c>
      <c r="D11">
        <f>10000000-5000000</f>
        <v>5000000</v>
      </c>
      <c r="E11">
        <f>9000000-5000000</f>
        <v>4000000</v>
      </c>
      <c r="F11">
        <f>12000000-5000000</f>
        <v>7000000</v>
      </c>
    </row>
    <row r="12" spans="2:6" x14ac:dyDescent="0.25">
      <c r="B12" t="s">
        <v>1</v>
      </c>
      <c r="C12">
        <f>7000000-7000000</f>
        <v>0</v>
      </c>
      <c r="D12">
        <f>10000000-7000000</f>
        <v>3000000</v>
      </c>
      <c r="E12">
        <f>8000000-7000000</f>
        <v>1000000</v>
      </c>
      <c r="F12">
        <f>11000000-7000000</f>
        <v>4000000</v>
      </c>
    </row>
    <row r="13" spans="2:6" x14ac:dyDescent="0.25">
      <c r="B13" t="s">
        <v>2</v>
      </c>
      <c r="C13">
        <f>9000000-9000000</f>
        <v>0</v>
      </c>
      <c r="D13">
        <f>10000000-9000000</f>
        <v>1000000</v>
      </c>
      <c r="E13">
        <f>11000000-9000000</f>
        <v>2000000</v>
      </c>
      <c r="F13">
        <f>15000000-9000000</f>
        <v>6000000</v>
      </c>
    </row>
    <row r="14" spans="2:6" x14ac:dyDescent="0.25">
      <c r="B14" t="s">
        <v>3</v>
      </c>
      <c r="C14">
        <f>6000000-6000000</f>
        <v>0</v>
      </c>
      <c r="D14">
        <f>13000000-6000000</f>
        <v>7000000</v>
      </c>
      <c r="E14">
        <f>12000000-6000000</f>
        <v>6000000</v>
      </c>
      <c r="F14">
        <f>15000000-6000000</f>
        <v>9000000</v>
      </c>
    </row>
    <row r="17" spans="2:6" x14ac:dyDescent="0.25">
      <c r="C17" t="s">
        <v>4</v>
      </c>
      <c r="D17" t="s">
        <v>5</v>
      </c>
      <c r="E17" t="s">
        <v>6</v>
      </c>
      <c r="F17" t="s">
        <v>7</v>
      </c>
    </row>
    <row r="18" spans="2:6" x14ac:dyDescent="0.25">
      <c r="B18" t="s">
        <v>0</v>
      </c>
      <c r="C18">
        <f>5000000-5000000</f>
        <v>0</v>
      </c>
      <c r="D18">
        <f>5000000-1000000</f>
        <v>4000000</v>
      </c>
      <c r="E18">
        <f>4000000-1000000</f>
        <v>3000000</v>
      </c>
      <c r="F18">
        <f>7000000-4000000</f>
        <v>3000000</v>
      </c>
    </row>
    <row r="19" spans="2:6" x14ac:dyDescent="0.25">
      <c r="B19" t="s">
        <v>1</v>
      </c>
      <c r="C19">
        <f>7000000-7000000</f>
        <v>0</v>
      </c>
      <c r="D19">
        <f>3000000-1000000</f>
        <v>2000000</v>
      </c>
      <c r="E19">
        <f>1000000-1000000</f>
        <v>0</v>
      </c>
      <c r="F19">
        <f>4000000-4000000</f>
        <v>0</v>
      </c>
    </row>
    <row r="20" spans="2:6" x14ac:dyDescent="0.25">
      <c r="B20" t="s">
        <v>2</v>
      </c>
      <c r="C20">
        <f>9000000-9000000</f>
        <v>0</v>
      </c>
      <c r="D20">
        <f>1000000-1000000</f>
        <v>0</v>
      </c>
      <c r="E20">
        <f>2000000-1000000</f>
        <v>1000000</v>
      </c>
      <c r="F20">
        <f>6000000-4000000</f>
        <v>2000000</v>
      </c>
    </row>
    <row r="21" spans="2:6" x14ac:dyDescent="0.25">
      <c r="B21" t="s">
        <v>3</v>
      </c>
      <c r="C21">
        <f>6000000-6000000</f>
        <v>0</v>
      </c>
      <c r="D21">
        <f>7000000-1000000</f>
        <v>6000000</v>
      </c>
      <c r="E21">
        <f>12000000-6000000</f>
        <v>6000000</v>
      </c>
      <c r="F21">
        <f>9000000-4000000</f>
        <v>5000000</v>
      </c>
    </row>
    <row r="24" spans="2:6" x14ac:dyDescent="0.25">
      <c r="C24" t="s">
        <v>4</v>
      </c>
      <c r="D24" t="s">
        <v>5</v>
      </c>
      <c r="E24" t="s">
        <v>6</v>
      </c>
      <c r="F24" t="s">
        <v>7</v>
      </c>
    </row>
    <row r="25" spans="2:6" x14ac:dyDescent="0.25">
      <c r="B25" t="s">
        <v>0</v>
      </c>
      <c r="C25" s="1">
        <f>5000000-5000000</f>
        <v>0</v>
      </c>
      <c r="D25">
        <f>5000000-1000000</f>
        <v>4000000</v>
      </c>
      <c r="E25">
        <f>4000000-1000000</f>
        <v>3000000</v>
      </c>
      <c r="F25">
        <f>7000000-4000000</f>
        <v>3000000</v>
      </c>
    </row>
    <row r="26" spans="2:6" x14ac:dyDescent="0.25">
      <c r="B26" t="s">
        <v>1</v>
      </c>
      <c r="C26" s="1">
        <f>7000000-7000000</f>
        <v>0</v>
      </c>
      <c r="D26" s="1">
        <f>3000000-1000000</f>
        <v>2000000</v>
      </c>
      <c r="E26" s="1">
        <f>1000000-1000000</f>
        <v>0</v>
      </c>
      <c r="F26" s="1">
        <f>4000000-4000000</f>
        <v>0</v>
      </c>
    </row>
    <row r="27" spans="2:6" x14ac:dyDescent="0.25">
      <c r="B27" t="s">
        <v>2</v>
      </c>
      <c r="C27" s="1">
        <f>9000000-9000000</f>
        <v>0</v>
      </c>
      <c r="D27" s="1">
        <f>1000000-1000000</f>
        <v>0</v>
      </c>
      <c r="E27" s="1">
        <f>2000000-1000000</f>
        <v>1000000</v>
      </c>
      <c r="F27" s="1">
        <f>6000000-4000000</f>
        <v>2000000</v>
      </c>
    </row>
    <row r="28" spans="2:6" x14ac:dyDescent="0.25">
      <c r="B28" t="s">
        <v>3</v>
      </c>
      <c r="C28" s="1">
        <f>6000000-6000000</f>
        <v>0</v>
      </c>
      <c r="D28">
        <f>7000000-1000000</f>
        <v>6000000</v>
      </c>
      <c r="E28">
        <f>12000000-6000000</f>
        <v>6000000</v>
      </c>
      <c r="F28">
        <f>9000000-4000000</f>
        <v>5000000</v>
      </c>
    </row>
    <row r="31" spans="2:6" x14ac:dyDescent="0.25">
      <c r="C31" t="s">
        <v>4</v>
      </c>
      <c r="D31" t="s">
        <v>5</v>
      </c>
      <c r="E31" t="s">
        <v>6</v>
      </c>
      <c r="F31" t="s">
        <v>7</v>
      </c>
    </row>
    <row r="32" spans="2:6" x14ac:dyDescent="0.25">
      <c r="B32" t="s">
        <v>0</v>
      </c>
      <c r="C32" s="1">
        <f>5000000-5000000</f>
        <v>0</v>
      </c>
      <c r="D32">
        <v>1000000</v>
      </c>
      <c r="E32">
        <v>0</v>
      </c>
      <c r="F32">
        <v>0</v>
      </c>
    </row>
    <row r="33" spans="2:8" x14ac:dyDescent="0.25">
      <c r="B33" t="s">
        <v>1</v>
      </c>
      <c r="C33" s="1">
        <v>3000000</v>
      </c>
      <c r="D33" s="1">
        <f>3000000-1000000</f>
        <v>2000000</v>
      </c>
      <c r="E33" s="1">
        <f>1000000-1000000</f>
        <v>0</v>
      </c>
      <c r="F33" s="1">
        <f>4000000-4000000</f>
        <v>0</v>
      </c>
    </row>
    <row r="34" spans="2:8" x14ac:dyDescent="0.25">
      <c r="B34" t="s">
        <v>2</v>
      </c>
      <c r="C34" s="1">
        <v>3000000</v>
      </c>
      <c r="D34" s="1">
        <f>1000000-1000000</f>
        <v>0</v>
      </c>
      <c r="E34" s="1">
        <f>2000000-1000000</f>
        <v>1000000</v>
      </c>
      <c r="F34" s="1">
        <f>6000000-4000000</f>
        <v>2000000</v>
      </c>
    </row>
    <row r="35" spans="2:8" x14ac:dyDescent="0.25">
      <c r="B35" t="s">
        <v>3</v>
      </c>
      <c r="C35" s="1">
        <f>6000000-6000000</f>
        <v>0</v>
      </c>
      <c r="D35">
        <v>3000000</v>
      </c>
      <c r="E35">
        <v>3000000</v>
      </c>
      <c r="F35">
        <v>2000000</v>
      </c>
    </row>
    <row r="38" spans="2:8" x14ac:dyDescent="0.25">
      <c r="C38" t="s">
        <v>4</v>
      </c>
      <c r="D38" t="s">
        <v>5</v>
      </c>
      <c r="E38" t="s">
        <v>6</v>
      </c>
      <c r="F38" t="s">
        <v>7</v>
      </c>
    </row>
    <row r="39" spans="2:8" x14ac:dyDescent="0.25">
      <c r="B39" t="s">
        <v>0</v>
      </c>
      <c r="C39">
        <f>5000000-5000000</f>
        <v>0</v>
      </c>
      <c r="E39">
        <v>0</v>
      </c>
      <c r="F39">
        <v>0</v>
      </c>
    </row>
    <row r="40" spans="2:8" x14ac:dyDescent="0.25">
      <c r="B40" t="s">
        <v>1</v>
      </c>
      <c r="E40">
        <f>1000000-1000000</f>
        <v>0</v>
      </c>
      <c r="F40">
        <f>4000000-4000000</f>
        <v>0</v>
      </c>
    </row>
    <row r="41" spans="2:8" x14ac:dyDescent="0.25">
      <c r="B41" t="s">
        <v>2</v>
      </c>
      <c r="D41">
        <f>1000000-1000000</f>
        <v>0</v>
      </c>
    </row>
    <row r="42" spans="2:8" x14ac:dyDescent="0.25">
      <c r="B42" t="s">
        <v>3</v>
      </c>
      <c r="C42">
        <f>6000000-6000000</f>
        <v>0</v>
      </c>
    </row>
    <row r="45" spans="2:8" x14ac:dyDescent="0.25">
      <c r="C45" t="s">
        <v>4</v>
      </c>
      <c r="D45" t="s">
        <v>5</v>
      </c>
      <c r="E45" t="s">
        <v>6</v>
      </c>
      <c r="F45" t="s">
        <v>7</v>
      </c>
      <c r="H45" t="s">
        <v>8</v>
      </c>
    </row>
    <row r="46" spans="2:8" x14ac:dyDescent="0.25">
      <c r="B46" t="s">
        <v>0</v>
      </c>
      <c r="F46">
        <v>0</v>
      </c>
      <c r="H46">
        <v>6000000</v>
      </c>
    </row>
    <row r="47" spans="2:8" x14ac:dyDescent="0.25">
      <c r="B47" t="s">
        <v>1</v>
      </c>
      <c r="E47">
        <f>1000000-1000000</f>
        <v>0</v>
      </c>
      <c r="H47">
        <v>10000000</v>
      </c>
    </row>
    <row r="48" spans="2:8" x14ac:dyDescent="0.25">
      <c r="B48" t="s">
        <v>2</v>
      </c>
      <c r="D48">
        <f>1000000-1000000</f>
        <v>0</v>
      </c>
      <c r="H48">
        <v>8000000</v>
      </c>
    </row>
    <row r="49" spans="2:8" x14ac:dyDescent="0.25">
      <c r="B49" t="s">
        <v>3</v>
      </c>
      <c r="C49">
        <f>6000000-6000000</f>
        <v>0</v>
      </c>
      <c r="H49">
        <v>12000000</v>
      </c>
    </row>
    <row r="50" spans="2:8" x14ac:dyDescent="0.25">
      <c r="H50" s="2">
        <f>H46+H47+H48+H49</f>
        <v>36000000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FE31-055B-4EC9-B4F4-4F46FB1B03E3}">
  <dimension ref="B3:G42"/>
  <sheetViews>
    <sheetView topLeftCell="A21" workbookViewId="0">
      <selection activeCell="F33" sqref="F33"/>
    </sheetView>
  </sheetViews>
  <sheetFormatPr baseColWidth="10" defaultRowHeight="15" x14ac:dyDescent="0.25"/>
  <cols>
    <col min="3" max="3" width="13.7109375" bestFit="1" customWidth="1"/>
    <col min="4" max="5" width="13.5703125" bestFit="1" customWidth="1"/>
    <col min="7" max="7" width="14.5703125" bestFit="1" customWidth="1"/>
  </cols>
  <sheetData>
    <row r="3" spans="2:5" x14ac:dyDescent="0.25">
      <c r="C3" t="s">
        <v>9</v>
      </c>
      <c r="D3" t="s">
        <v>10</v>
      </c>
      <c r="E3" t="s">
        <v>11</v>
      </c>
    </row>
    <row r="4" spans="2:5" x14ac:dyDescent="0.25">
      <c r="B4" t="s">
        <v>0</v>
      </c>
      <c r="C4" s="3">
        <v>6000</v>
      </c>
      <c r="D4" s="3">
        <v>2500</v>
      </c>
      <c r="E4" s="3">
        <v>3000</v>
      </c>
    </row>
    <row r="5" spans="2:5" x14ac:dyDescent="0.25">
      <c r="B5" t="s">
        <v>1</v>
      </c>
      <c r="C5" s="3">
        <v>6500</v>
      </c>
      <c r="D5" s="3">
        <v>2200</v>
      </c>
      <c r="E5" s="3">
        <v>3000</v>
      </c>
    </row>
    <row r="6" spans="2:5" x14ac:dyDescent="0.25">
      <c r="B6" t="s">
        <v>2</v>
      </c>
      <c r="C6" s="3">
        <v>5900</v>
      </c>
      <c r="D6" s="3">
        <v>2100</v>
      </c>
      <c r="E6" s="3">
        <v>3100</v>
      </c>
    </row>
    <row r="9" spans="2:5" x14ac:dyDescent="0.25">
      <c r="C9" t="s">
        <v>9</v>
      </c>
      <c r="D9" t="s">
        <v>10</v>
      </c>
      <c r="E9" t="s">
        <v>11</v>
      </c>
    </row>
    <row r="10" spans="2:5" x14ac:dyDescent="0.25">
      <c r="B10" t="s">
        <v>0</v>
      </c>
      <c r="C10" s="3">
        <f>6000-2500</f>
        <v>3500</v>
      </c>
      <c r="D10" s="3">
        <f>2500-2500</f>
        <v>0</v>
      </c>
      <c r="E10" s="3">
        <f>3000-2500</f>
        <v>500</v>
      </c>
    </row>
    <row r="11" spans="2:5" x14ac:dyDescent="0.25">
      <c r="B11" t="s">
        <v>1</v>
      </c>
      <c r="C11" s="3">
        <f>6500-2200</f>
        <v>4300</v>
      </c>
      <c r="D11" s="3">
        <f>2200-2200</f>
        <v>0</v>
      </c>
      <c r="E11" s="3">
        <f>3000-2200</f>
        <v>800</v>
      </c>
    </row>
    <row r="12" spans="2:5" x14ac:dyDescent="0.25">
      <c r="B12" t="s">
        <v>2</v>
      </c>
      <c r="C12" s="3">
        <f>5900-2100</f>
        <v>3800</v>
      </c>
      <c r="D12" s="3">
        <f>2100-2100</f>
        <v>0</v>
      </c>
      <c r="E12" s="3">
        <f>3100-2100</f>
        <v>1000</v>
      </c>
    </row>
    <row r="15" spans="2:5" x14ac:dyDescent="0.25">
      <c r="C15" t="s">
        <v>9</v>
      </c>
      <c r="D15" t="s">
        <v>10</v>
      </c>
      <c r="E15" t="s">
        <v>11</v>
      </c>
    </row>
    <row r="16" spans="2:5" x14ac:dyDescent="0.25">
      <c r="B16" t="s">
        <v>0</v>
      </c>
      <c r="C16" s="3">
        <f>3500-3500</f>
        <v>0</v>
      </c>
      <c r="D16" s="3">
        <f>2500-2500</f>
        <v>0</v>
      </c>
      <c r="E16" s="3">
        <f>500-500</f>
        <v>0</v>
      </c>
    </row>
    <row r="17" spans="2:5" x14ac:dyDescent="0.25">
      <c r="B17" t="s">
        <v>1</v>
      </c>
      <c r="C17" s="3">
        <f>4300-3500</f>
        <v>800</v>
      </c>
      <c r="D17" s="3">
        <f>2200-2200</f>
        <v>0</v>
      </c>
      <c r="E17" s="3">
        <f>800-500</f>
        <v>300</v>
      </c>
    </row>
    <row r="18" spans="2:5" x14ac:dyDescent="0.25">
      <c r="B18" t="s">
        <v>2</v>
      </c>
      <c r="C18" s="3">
        <f>3800-3500</f>
        <v>300</v>
      </c>
      <c r="D18" s="3">
        <f>2100-2100</f>
        <v>0</v>
      </c>
      <c r="E18" s="3">
        <f>1000-500</f>
        <v>500</v>
      </c>
    </row>
    <row r="21" spans="2:5" x14ac:dyDescent="0.25">
      <c r="C21" t="s">
        <v>9</v>
      </c>
      <c r="D21" t="s">
        <v>10</v>
      </c>
      <c r="E21" t="s">
        <v>11</v>
      </c>
    </row>
    <row r="22" spans="2:5" x14ac:dyDescent="0.25">
      <c r="B22" t="s">
        <v>0</v>
      </c>
      <c r="C22" s="4">
        <f>3500-3500</f>
        <v>0</v>
      </c>
      <c r="D22" s="4">
        <f>2500-2500</f>
        <v>0</v>
      </c>
      <c r="E22" s="4">
        <f>500-500</f>
        <v>0</v>
      </c>
    </row>
    <row r="23" spans="2:5" x14ac:dyDescent="0.25">
      <c r="B23" t="s">
        <v>1</v>
      </c>
      <c r="C23" s="3">
        <f>4300-3500</f>
        <v>800</v>
      </c>
      <c r="D23" s="4">
        <f>2200-2200</f>
        <v>0</v>
      </c>
      <c r="E23" s="3">
        <f>800-500</f>
        <v>300</v>
      </c>
    </row>
    <row r="24" spans="2:5" x14ac:dyDescent="0.25">
      <c r="B24" t="s">
        <v>2</v>
      </c>
      <c r="C24" s="3">
        <f>3800-3500</f>
        <v>300</v>
      </c>
      <c r="D24" s="4">
        <f>2100-2100</f>
        <v>0</v>
      </c>
      <c r="E24" s="3">
        <f>1000-500</f>
        <v>500</v>
      </c>
    </row>
    <row r="27" spans="2:5" x14ac:dyDescent="0.25">
      <c r="C27" t="s">
        <v>9</v>
      </c>
      <c r="D27" t="s">
        <v>10</v>
      </c>
      <c r="E27" t="s">
        <v>11</v>
      </c>
    </row>
    <row r="28" spans="2:5" x14ac:dyDescent="0.25">
      <c r="B28" t="s">
        <v>0</v>
      </c>
      <c r="C28" s="4">
        <f>3500-3500</f>
        <v>0</v>
      </c>
      <c r="D28" s="4">
        <v>300</v>
      </c>
      <c r="E28" s="4">
        <f>500-500</f>
        <v>0</v>
      </c>
    </row>
    <row r="29" spans="2:5" x14ac:dyDescent="0.25">
      <c r="B29" t="s">
        <v>1</v>
      </c>
      <c r="C29" s="3">
        <v>500</v>
      </c>
      <c r="D29" s="4">
        <f>2200-2200</f>
        <v>0</v>
      </c>
      <c r="E29" s="3">
        <v>0</v>
      </c>
    </row>
    <row r="30" spans="2:5" x14ac:dyDescent="0.25">
      <c r="B30" t="s">
        <v>2</v>
      </c>
      <c r="C30" s="3">
        <v>0</v>
      </c>
      <c r="D30" s="4">
        <f>2100-2100</f>
        <v>0</v>
      </c>
      <c r="E30" s="3">
        <v>200</v>
      </c>
    </row>
    <row r="33" spans="2:7" x14ac:dyDescent="0.25">
      <c r="C33" t="s">
        <v>9</v>
      </c>
      <c r="D33" t="s">
        <v>10</v>
      </c>
      <c r="E33" t="s">
        <v>11</v>
      </c>
    </row>
    <row r="34" spans="2:7" x14ac:dyDescent="0.25">
      <c r="B34" t="s">
        <v>0</v>
      </c>
      <c r="C34" s="3">
        <f>3500-3500</f>
        <v>0</v>
      </c>
      <c r="D34" s="3"/>
      <c r="E34" s="3">
        <f>500-500</f>
        <v>0</v>
      </c>
    </row>
    <row r="35" spans="2:7" x14ac:dyDescent="0.25">
      <c r="B35" t="s">
        <v>1</v>
      </c>
      <c r="C35" s="3"/>
      <c r="D35" s="3">
        <f>2200-2200</f>
        <v>0</v>
      </c>
      <c r="E35" s="3">
        <v>0</v>
      </c>
    </row>
    <row r="36" spans="2:7" x14ac:dyDescent="0.25">
      <c r="B36" t="s">
        <v>2</v>
      </c>
      <c r="C36" s="3">
        <v>0</v>
      </c>
      <c r="D36" s="3">
        <f>2100-2100</f>
        <v>0</v>
      </c>
      <c r="E36" s="3"/>
    </row>
    <row r="37" spans="2:7" x14ac:dyDescent="0.25">
      <c r="G37" s="3"/>
    </row>
    <row r="39" spans="2:7" x14ac:dyDescent="0.25">
      <c r="C39" t="s">
        <v>9</v>
      </c>
      <c r="D39" t="s">
        <v>10</v>
      </c>
      <c r="E39" t="s">
        <v>11</v>
      </c>
      <c r="G39" s="5">
        <v>3000</v>
      </c>
    </row>
    <row r="40" spans="2:7" x14ac:dyDescent="0.25">
      <c r="B40" t="s">
        <v>0</v>
      </c>
      <c r="D40" s="3"/>
      <c r="E40" s="3">
        <f>500-500</f>
        <v>0</v>
      </c>
      <c r="G40" s="5">
        <v>2200</v>
      </c>
    </row>
    <row r="41" spans="2:7" x14ac:dyDescent="0.25">
      <c r="B41" t="s">
        <v>1</v>
      </c>
      <c r="C41" s="3"/>
      <c r="D41" s="3">
        <f>2200-2200</f>
        <v>0</v>
      </c>
      <c r="E41" s="3"/>
      <c r="G41" s="5">
        <v>5900</v>
      </c>
    </row>
    <row r="42" spans="2:7" x14ac:dyDescent="0.25">
      <c r="B42" t="s">
        <v>2</v>
      </c>
      <c r="C42" s="3">
        <v>0</v>
      </c>
      <c r="E42" s="3"/>
      <c r="G42" s="6">
        <f>G39+G40+G41</f>
        <v>11100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9052-A25E-4C5C-BA06-5B0E2B91D2FE}">
  <dimension ref="A1:G29"/>
  <sheetViews>
    <sheetView workbookViewId="0">
      <selection activeCell="G27" sqref="G27"/>
    </sheetView>
  </sheetViews>
  <sheetFormatPr baseColWidth="10" defaultRowHeight="15" x14ac:dyDescent="0.25"/>
  <cols>
    <col min="7" max="7" width="16.5703125" customWidth="1"/>
  </cols>
  <sheetData>
    <row r="1" spans="1:5" x14ac:dyDescent="0.25">
      <c r="A1" s="7"/>
      <c r="B1" s="7" t="s">
        <v>12</v>
      </c>
      <c r="C1" s="7" t="s">
        <v>13</v>
      </c>
      <c r="D1" s="7" t="s">
        <v>14</v>
      </c>
      <c r="E1" s="7" t="s">
        <v>19</v>
      </c>
    </row>
    <row r="2" spans="1:5" x14ac:dyDescent="0.25">
      <c r="A2" s="7" t="s">
        <v>15</v>
      </c>
      <c r="B2">
        <v>1000</v>
      </c>
      <c r="C2">
        <v>1100</v>
      </c>
      <c r="D2">
        <v>1200</v>
      </c>
      <c r="E2">
        <v>7</v>
      </c>
    </row>
    <row r="3" spans="1:5" x14ac:dyDescent="0.25">
      <c r="A3" s="7" t="s">
        <v>16</v>
      </c>
      <c r="B3">
        <v>1100</v>
      </c>
      <c r="C3">
        <v>1000</v>
      </c>
      <c r="D3">
        <v>1200</v>
      </c>
      <c r="E3">
        <v>4</v>
      </c>
    </row>
    <row r="4" spans="1:5" x14ac:dyDescent="0.25">
      <c r="A4" s="7" t="s">
        <v>17</v>
      </c>
      <c r="B4">
        <v>900</v>
      </c>
      <c r="C4">
        <v>1200</v>
      </c>
      <c r="D4">
        <v>1300</v>
      </c>
      <c r="E4">
        <v>4</v>
      </c>
    </row>
    <row r="5" spans="1:5" x14ac:dyDescent="0.25">
      <c r="A5" s="7" t="s">
        <v>18</v>
      </c>
      <c r="B5">
        <v>4</v>
      </c>
      <c r="C5">
        <v>5</v>
      </c>
      <c r="D5">
        <v>6</v>
      </c>
    </row>
    <row r="7" spans="1:5" x14ac:dyDescent="0.25">
      <c r="A7" s="7"/>
      <c r="B7" s="7" t="s">
        <v>12</v>
      </c>
      <c r="C7" s="7" t="s">
        <v>13</v>
      </c>
      <c r="D7" s="7" t="s">
        <v>14</v>
      </c>
      <c r="E7" s="7" t="s">
        <v>19</v>
      </c>
    </row>
    <row r="8" spans="1:5" x14ac:dyDescent="0.25">
      <c r="A8" s="7" t="s">
        <v>15</v>
      </c>
      <c r="B8" t="s">
        <v>20</v>
      </c>
      <c r="C8">
        <v>1100</v>
      </c>
      <c r="D8">
        <v>1200</v>
      </c>
      <c r="E8" t="s">
        <v>22</v>
      </c>
    </row>
    <row r="9" spans="1:5" x14ac:dyDescent="0.25">
      <c r="A9" s="7" t="s">
        <v>16</v>
      </c>
      <c r="B9">
        <v>1100</v>
      </c>
      <c r="C9" t="s">
        <v>20</v>
      </c>
      <c r="D9">
        <v>1200</v>
      </c>
      <c r="E9">
        <v>0</v>
      </c>
    </row>
    <row r="10" spans="1:5" x14ac:dyDescent="0.25">
      <c r="A10" s="7" t="s">
        <v>17</v>
      </c>
      <c r="B10">
        <v>900</v>
      </c>
      <c r="C10" t="s">
        <v>24</v>
      </c>
      <c r="D10">
        <v>1300</v>
      </c>
      <c r="E10" t="s">
        <v>23</v>
      </c>
    </row>
    <row r="11" spans="1:5" x14ac:dyDescent="0.25">
      <c r="A11" s="7" t="s">
        <v>18</v>
      </c>
      <c r="B11" t="s">
        <v>21</v>
      </c>
      <c r="C11" t="s">
        <v>25</v>
      </c>
      <c r="D11">
        <v>6</v>
      </c>
    </row>
    <row r="13" spans="1:5" x14ac:dyDescent="0.25">
      <c r="A13" s="7"/>
      <c r="B13" s="7" t="s">
        <v>12</v>
      </c>
      <c r="C13" s="7" t="s">
        <v>13</v>
      </c>
      <c r="D13" s="7" t="s">
        <v>14</v>
      </c>
      <c r="E13" s="7" t="s">
        <v>19</v>
      </c>
    </row>
    <row r="14" spans="1:5" x14ac:dyDescent="0.25">
      <c r="A14" s="7" t="s">
        <v>15</v>
      </c>
      <c r="B14" t="s">
        <v>20</v>
      </c>
      <c r="C14">
        <v>1100</v>
      </c>
      <c r="D14" t="s">
        <v>26</v>
      </c>
      <c r="E14">
        <v>0</v>
      </c>
    </row>
    <row r="15" spans="1:5" x14ac:dyDescent="0.25">
      <c r="A15" s="7" t="s">
        <v>16</v>
      </c>
      <c r="B15">
        <v>1100</v>
      </c>
      <c r="C15" t="s">
        <v>20</v>
      </c>
      <c r="D15">
        <v>1200</v>
      </c>
      <c r="E15">
        <v>0</v>
      </c>
    </row>
    <row r="16" spans="1:5" x14ac:dyDescent="0.25">
      <c r="A16" s="7" t="s">
        <v>17</v>
      </c>
      <c r="B16">
        <v>900</v>
      </c>
      <c r="C16" t="s">
        <v>24</v>
      </c>
      <c r="D16" t="s">
        <v>28</v>
      </c>
      <c r="E16">
        <v>0</v>
      </c>
    </row>
    <row r="17" spans="1:7" x14ac:dyDescent="0.25">
      <c r="A17" s="7" t="s">
        <v>18</v>
      </c>
      <c r="B17" t="s">
        <v>21</v>
      </c>
      <c r="C17" t="s">
        <v>25</v>
      </c>
      <c r="D17" t="s">
        <v>27</v>
      </c>
    </row>
    <row r="19" spans="1:7" x14ac:dyDescent="0.25">
      <c r="A19" s="7"/>
      <c r="B19" s="7" t="s">
        <v>12</v>
      </c>
      <c r="C19" s="7" t="s">
        <v>13</v>
      </c>
      <c r="D19" s="7" t="s">
        <v>14</v>
      </c>
      <c r="E19" s="7" t="s">
        <v>19</v>
      </c>
    </row>
    <row r="20" spans="1:7" x14ac:dyDescent="0.25">
      <c r="A20" s="7" t="s">
        <v>15</v>
      </c>
      <c r="B20" t="s">
        <v>20</v>
      </c>
      <c r="D20" t="s">
        <v>26</v>
      </c>
    </row>
    <row r="21" spans="1:7" x14ac:dyDescent="0.25">
      <c r="A21" s="7" t="s">
        <v>16</v>
      </c>
      <c r="C21" t="s">
        <v>20</v>
      </c>
    </row>
    <row r="22" spans="1:7" x14ac:dyDescent="0.25">
      <c r="A22" s="7" t="s">
        <v>17</v>
      </c>
      <c r="C22" t="s">
        <v>24</v>
      </c>
      <c r="D22" t="s">
        <v>28</v>
      </c>
    </row>
    <row r="23" spans="1:7" x14ac:dyDescent="0.25">
      <c r="A23" s="7" t="s">
        <v>18</v>
      </c>
    </row>
    <row r="25" spans="1:7" x14ac:dyDescent="0.25">
      <c r="A25" s="7"/>
      <c r="B25" s="7" t="s">
        <v>12</v>
      </c>
      <c r="C25" s="7" t="s">
        <v>13</v>
      </c>
      <c r="D25" s="7" t="s">
        <v>14</v>
      </c>
      <c r="E25" s="7" t="s">
        <v>19</v>
      </c>
    </row>
    <row r="26" spans="1:7" x14ac:dyDescent="0.25">
      <c r="A26" s="7" t="s">
        <v>15</v>
      </c>
      <c r="B26">
        <v>4000</v>
      </c>
      <c r="D26">
        <v>3600</v>
      </c>
    </row>
    <row r="27" spans="1:7" x14ac:dyDescent="0.25">
      <c r="A27" s="7" t="s">
        <v>16</v>
      </c>
      <c r="C27">
        <v>4000</v>
      </c>
      <c r="G27" t="s">
        <v>8</v>
      </c>
    </row>
    <row r="28" spans="1:7" x14ac:dyDescent="0.25">
      <c r="A28" s="7" t="s">
        <v>17</v>
      </c>
      <c r="C28">
        <v>1200</v>
      </c>
      <c r="D28">
        <v>3900</v>
      </c>
      <c r="G28" s="8">
        <v>16700</v>
      </c>
    </row>
    <row r="29" spans="1:7" x14ac:dyDescent="0.25">
      <c r="A29" s="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7710-F6D2-4504-ABBC-BE3FA490C5D2}">
  <dimension ref="B2:J40"/>
  <sheetViews>
    <sheetView tabSelected="1" topLeftCell="A28" workbookViewId="0">
      <selection activeCell="H41" sqref="H41"/>
    </sheetView>
  </sheetViews>
  <sheetFormatPr baseColWidth="10" defaultRowHeight="15" x14ac:dyDescent="0.25"/>
  <cols>
    <col min="6" max="6" width="11.7109375" customWidth="1"/>
    <col min="7" max="7" width="14.7109375" customWidth="1"/>
    <col min="10" max="10" width="18.7109375" customWidth="1"/>
  </cols>
  <sheetData>
    <row r="2" spans="2:7" x14ac:dyDescent="0.25">
      <c r="B2" s="9"/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</row>
    <row r="3" spans="2:7" x14ac:dyDescent="0.25">
      <c r="B3" s="9" t="s">
        <v>34</v>
      </c>
      <c r="C3" s="10">
        <v>60</v>
      </c>
      <c r="D3" s="10">
        <v>65</v>
      </c>
      <c r="E3" s="10">
        <v>63</v>
      </c>
      <c r="F3" s="10">
        <v>63</v>
      </c>
      <c r="G3" s="9">
        <v>34</v>
      </c>
    </row>
    <row r="4" spans="2:7" x14ac:dyDescent="0.25">
      <c r="B4" s="9" t="s">
        <v>35</v>
      </c>
      <c r="C4" s="10">
        <v>61</v>
      </c>
      <c r="D4" s="10">
        <v>64</v>
      </c>
      <c r="E4" s="10">
        <v>64</v>
      </c>
      <c r="F4" s="10">
        <v>63</v>
      </c>
      <c r="G4" s="9">
        <v>49</v>
      </c>
    </row>
    <row r="5" spans="2:7" x14ac:dyDescent="0.25">
      <c r="B5" s="9" t="s">
        <v>36</v>
      </c>
      <c r="C5" s="10">
        <v>65</v>
      </c>
      <c r="D5" s="10">
        <v>66</v>
      </c>
      <c r="E5" s="10">
        <v>62</v>
      </c>
      <c r="F5" s="10">
        <v>60</v>
      </c>
      <c r="G5" s="9">
        <v>18</v>
      </c>
    </row>
    <row r="6" spans="2:7" x14ac:dyDescent="0.25">
      <c r="B6" s="9" t="s">
        <v>37</v>
      </c>
      <c r="C6" s="10">
        <v>61</v>
      </c>
      <c r="D6" s="10">
        <v>60</v>
      </c>
      <c r="E6" s="10">
        <v>67</v>
      </c>
      <c r="F6" s="10">
        <v>59</v>
      </c>
      <c r="G6" s="9">
        <v>25</v>
      </c>
    </row>
    <row r="7" spans="2:7" x14ac:dyDescent="0.25">
      <c r="B7" s="9" t="s">
        <v>38</v>
      </c>
      <c r="C7" s="9">
        <v>26</v>
      </c>
      <c r="D7" s="9">
        <v>34</v>
      </c>
      <c r="E7" s="9">
        <v>19</v>
      </c>
      <c r="F7" s="9">
        <v>47</v>
      </c>
      <c r="G7" s="9"/>
    </row>
    <row r="9" spans="2:7" x14ac:dyDescent="0.25">
      <c r="B9" s="9"/>
      <c r="C9" s="9" t="s">
        <v>29</v>
      </c>
      <c r="D9" s="9" t="s">
        <v>30</v>
      </c>
      <c r="E9" s="9" t="s">
        <v>31</v>
      </c>
      <c r="F9" s="9" t="s">
        <v>32</v>
      </c>
      <c r="G9" s="9" t="s">
        <v>33</v>
      </c>
    </row>
    <row r="10" spans="2:7" x14ac:dyDescent="0.25">
      <c r="B10" s="9" t="s">
        <v>34</v>
      </c>
      <c r="C10" s="10" t="s">
        <v>39</v>
      </c>
      <c r="D10" s="10">
        <v>65</v>
      </c>
      <c r="E10" s="10">
        <v>63</v>
      </c>
      <c r="F10" s="10">
        <v>63</v>
      </c>
      <c r="G10" s="9" t="s">
        <v>40</v>
      </c>
    </row>
    <row r="11" spans="2:7" x14ac:dyDescent="0.25">
      <c r="B11" s="9" t="s">
        <v>35</v>
      </c>
      <c r="C11" s="10">
        <v>61</v>
      </c>
      <c r="D11" s="10">
        <v>64</v>
      </c>
      <c r="E11" s="10">
        <v>64</v>
      </c>
      <c r="F11" s="10" t="s">
        <v>41</v>
      </c>
      <c r="G11" s="9" t="s">
        <v>42</v>
      </c>
    </row>
    <row r="12" spans="2:7" x14ac:dyDescent="0.25">
      <c r="B12" s="9" t="s">
        <v>36</v>
      </c>
      <c r="C12" s="10">
        <v>65</v>
      </c>
      <c r="D12" s="10">
        <v>66</v>
      </c>
      <c r="E12" s="10" t="s">
        <v>43</v>
      </c>
      <c r="F12" s="10">
        <v>60</v>
      </c>
      <c r="G12" s="9">
        <v>0</v>
      </c>
    </row>
    <row r="13" spans="2:7" x14ac:dyDescent="0.25">
      <c r="B13" s="9" t="s">
        <v>37</v>
      </c>
      <c r="C13" s="10">
        <v>61</v>
      </c>
      <c r="D13" s="10" t="s">
        <v>45</v>
      </c>
      <c r="E13" s="10">
        <v>67</v>
      </c>
      <c r="F13" s="10">
        <v>59</v>
      </c>
      <c r="G13" s="9">
        <v>0</v>
      </c>
    </row>
    <row r="14" spans="2:7" x14ac:dyDescent="0.25">
      <c r="B14" s="9" t="s">
        <v>38</v>
      </c>
      <c r="C14" s="9">
        <v>0</v>
      </c>
      <c r="D14" s="9" t="s">
        <v>46</v>
      </c>
      <c r="E14" s="9" t="s">
        <v>44</v>
      </c>
      <c r="F14" s="9">
        <v>0</v>
      </c>
      <c r="G14" s="9"/>
    </row>
    <row r="16" spans="2:7" x14ac:dyDescent="0.25">
      <c r="B16" s="9"/>
      <c r="C16" s="9" t="s">
        <v>29</v>
      </c>
      <c r="D16" s="9" t="s">
        <v>30</v>
      </c>
      <c r="E16" s="9" t="s">
        <v>31</v>
      </c>
      <c r="F16" s="9" t="s">
        <v>32</v>
      </c>
      <c r="G16" s="9" t="s">
        <v>33</v>
      </c>
    </row>
    <row r="17" spans="2:7" x14ac:dyDescent="0.25">
      <c r="B17" s="9" t="s">
        <v>34</v>
      </c>
      <c r="C17" s="10" t="s">
        <v>39</v>
      </c>
      <c r="D17" s="10">
        <v>65</v>
      </c>
      <c r="E17" s="10" t="s">
        <v>47</v>
      </c>
      <c r="F17" s="10">
        <v>63</v>
      </c>
      <c r="G17" s="9" t="s">
        <v>48</v>
      </c>
    </row>
    <row r="18" spans="2:7" x14ac:dyDescent="0.25">
      <c r="B18" s="9" t="s">
        <v>35</v>
      </c>
      <c r="C18" s="10">
        <v>61</v>
      </c>
      <c r="D18" s="10" t="s">
        <v>49</v>
      </c>
      <c r="E18" s="10">
        <v>64</v>
      </c>
      <c r="F18" s="10" t="s">
        <v>41</v>
      </c>
      <c r="G18" s="9" t="s">
        <v>50</v>
      </c>
    </row>
    <row r="19" spans="2:7" x14ac:dyDescent="0.25">
      <c r="B19" s="9" t="s">
        <v>36</v>
      </c>
      <c r="C19" s="10">
        <v>65</v>
      </c>
      <c r="D19" s="10">
        <v>66</v>
      </c>
      <c r="E19" s="10" t="s">
        <v>43</v>
      </c>
      <c r="F19" s="10">
        <v>60</v>
      </c>
      <c r="G19" s="9">
        <v>0</v>
      </c>
    </row>
    <row r="20" spans="2:7" x14ac:dyDescent="0.25">
      <c r="B20" s="9" t="s">
        <v>37</v>
      </c>
      <c r="C20" s="10">
        <v>61</v>
      </c>
      <c r="D20" s="10" t="s">
        <v>45</v>
      </c>
      <c r="E20" s="10">
        <v>67</v>
      </c>
      <c r="F20" s="10">
        <v>59</v>
      </c>
      <c r="G20" s="9">
        <v>0</v>
      </c>
    </row>
    <row r="21" spans="2:7" x14ac:dyDescent="0.25">
      <c r="B21" s="9" t="s">
        <v>38</v>
      </c>
      <c r="C21" s="9">
        <v>0</v>
      </c>
      <c r="D21" s="9" t="s">
        <v>51</v>
      </c>
      <c r="E21" s="9">
        <v>0</v>
      </c>
      <c r="F21" s="9">
        <v>0</v>
      </c>
      <c r="G21" s="9"/>
    </row>
    <row r="23" spans="2:7" x14ac:dyDescent="0.25">
      <c r="B23" s="9"/>
      <c r="C23" s="9" t="s">
        <v>29</v>
      </c>
      <c r="D23" s="9" t="s">
        <v>30</v>
      </c>
      <c r="E23" s="9" t="s">
        <v>31</v>
      </c>
      <c r="F23" s="9" t="s">
        <v>32</v>
      </c>
      <c r="G23" s="9" t="s">
        <v>33</v>
      </c>
    </row>
    <row r="24" spans="2:7" x14ac:dyDescent="0.25">
      <c r="B24" s="9" t="s">
        <v>34</v>
      </c>
      <c r="C24" s="10" t="s">
        <v>39</v>
      </c>
      <c r="D24" s="10" t="s">
        <v>52</v>
      </c>
      <c r="E24" s="10" t="s">
        <v>47</v>
      </c>
      <c r="F24" s="10">
        <v>63</v>
      </c>
      <c r="G24" s="9">
        <v>0</v>
      </c>
    </row>
    <row r="25" spans="2:7" x14ac:dyDescent="0.25">
      <c r="B25" s="9" t="s">
        <v>35</v>
      </c>
      <c r="C25" s="10">
        <v>61</v>
      </c>
      <c r="D25" s="10" t="s">
        <v>49</v>
      </c>
      <c r="E25" s="10">
        <v>64</v>
      </c>
      <c r="F25" s="10" t="s">
        <v>41</v>
      </c>
      <c r="G25" s="9">
        <v>0</v>
      </c>
    </row>
    <row r="26" spans="2:7" x14ac:dyDescent="0.25">
      <c r="B26" s="9" t="s">
        <v>36</v>
      </c>
      <c r="C26" s="10">
        <v>65</v>
      </c>
      <c r="D26" s="10">
        <v>66</v>
      </c>
      <c r="E26" s="10" t="s">
        <v>43</v>
      </c>
      <c r="F26" s="10">
        <v>60</v>
      </c>
      <c r="G26" s="9">
        <v>0</v>
      </c>
    </row>
    <row r="27" spans="2:7" x14ac:dyDescent="0.25">
      <c r="B27" s="9" t="s">
        <v>37</v>
      </c>
      <c r="C27" s="10">
        <v>61</v>
      </c>
      <c r="D27" s="10" t="s">
        <v>45</v>
      </c>
      <c r="E27" s="10">
        <v>67</v>
      </c>
      <c r="F27" s="10">
        <v>59</v>
      </c>
      <c r="G27" s="9">
        <v>0</v>
      </c>
    </row>
    <row r="28" spans="2:7" x14ac:dyDescent="0.25">
      <c r="B28" s="9" t="s">
        <v>38</v>
      </c>
      <c r="C28" s="9">
        <v>0</v>
      </c>
      <c r="D28" s="9">
        <v>0</v>
      </c>
      <c r="E28" s="9">
        <v>0</v>
      </c>
      <c r="F28" s="9">
        <v>0</v>
      </c>
      <c r="G28" s="9"/>
    </row>
    <row r="30" spans="2:7" x14ac:dyDescent="0.25">
      <c r="B30" s="9"/>
      <c r="C30" s="9" t="s">
        <v>29</v>
      </c>
      <c r="D30" s="9" t="s">
        <v>30</v>
      </c>
      <c r="E30" s="9" t="s">
        <v>31</v>
      </c>
      <c r="F30" s="9" t="s">
        <v>32</v>
      </c>
      <c r="G30" s="9" t="s">
        <v>33</v>
      </c>
    </row>
    <row r="31" spans="2:7" x14ac:dyDescent="0.25">
      <c r="B31" s="9" t="s">
        <v>34</v>
      </c>
      <c r="C31" s="10" t="s">
        <v>39</v>
      </c>
      <c r="D31" s="10" t="s">
        <v>52</v>
      </c>
      <c r="E31" s="10" t="s">
        <v>47</v>
      </c>
      <c r="F31" s="10"/>
      <c r="G31" s="9"/>
    </row>
    <row r="32" spans="2:7" x14ac:dyDescent="0.25">
      <c r="B32" s="9" t="s">
        <v>35</v>
      </c>
      <c r="C32" s="10"/>
      <c r="D32" s="10" t="s">
        <v>49</v>
      </c>
      <c r="E32" s="10"/>
      <c r="F32" s="10" t="s">
        <v>41</v>
      </c>
      <c r="G32" s="9"/>
    </row>
    <row r="33" spans="2:10" x14ac:dyDescent="0.25">
      <c r="B33" s="9" t="s">
        <v>36</v>
      </c>
      <c r="C33" s="10"/>
      <c r="D33" s="10"/>
      <c r="E33" s="10" t="s">
        <v>43</v>
      </c>
      <c r="F33" s="10"/>
      <c r="G33" s="9"/>
    </row>
    <row r="34" spans="2:10" x14ac:dyDescent="0.25">
      <c r="B34" s="9" t="s">
        <v>37</v>
      </c>
      <c r="C34" s="10"/>
      <c r="D34" s="10" t="s">
        <v>45</v>
      </c>
      <c r="E34" s="10"/>
      <c r="F34" s="10"/>
      <c r="G34" s="9"/>
    </row>
    <row r="36" spans="2:10" x14ac:dyDescent="0.25">
      <c r="B36" s="9"/>
      <c r="C36" s="9" t="s">
        <v>29</v>
      </c>
      <c r="D36" s="9" t="s">
        <v>30</v>
      </c>
      <c r="E36" s="9" t="s">
        <v>31</v>
      </c>
      <c r="F36" s="9" t="s">
        <v>32</v>
      </c>
      <c r="G36" s="9" t="s">
        <v>33</v>
      </c>
    </row>
    <row r="37" spans="2:10" x14ac:dyDescent="0.25">
      <c r="B37" s="9" t="s">
        <v>34</v>
      </c>
      <c r="C37" s="10">
        <v>1560</v>
      </c>
      <c r="D37" s="10">
        <v>455</v>
      </c>
      <c r="E37" s="10">
        <v>63</v>
      </c>
      <c r="F37" s="10"/>
      <c r="G37" s="9"/>
    </row>
    <row r="38" spans="2:10" x14ac:dyDescent="0.25">
      <c r="B38" s="9" t="s">
        <v>35</v>
      </c>
      <c r="C38" s="10"/>
      <c r="D38" s="10">
        <v>128</v>
      </c>
      <c r="E38" s="10"/>
      <c r="F38" s="10">
        <v>2961</v>
      </c>
      <c r="G38" s="9"/>
      <c r="J38" t="s">
        <v>8</v>
      </c>
    </row>
    <row r="39" spans="2:10" x14ac:dyDescent="0.25">
      <c r="B39" s="9" t="s">
        <v>36</v>
      </c>
      <c r="C39" s="10"/>
      <c r="D39" s="10"/>
      <c r="E39" s="10">
        <v>1116</v>
      </c>
      <c r="F39" s="10"/>
      <c r="G39" s="9"/>
      <c r="J39" s="11">
        <f>E37+F38+E39+D40+D37+D38+C37</f>
        <v>7783</v>
      </c>
    </row>
    <row r="40" spans="2:10" x14ac:dyDescent="0.25">
      <c r="B40" s="9" t="s">
        <v>37</v>
      </c>
      <c r="C40" s="10"/>
      <c r="D40" s="10">
        <v>1500</v>
      </c>
      <c r="E40" s="10"/>
      <c r="F40" s="10"/>
      <c r="G4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Sala 1 EEST 1</cp:lastModifiedBy>
  <dcterms:created xsi:type="dcterms:W3CDTF">2026-06-29T13:33:07Z</dcterms:created>
  <dcterms:modified xsi:type="dcterms:W3CDTF">2026-07-06T11:31:47Z</dcterms:modified>
</cp:coreProperties>
</file>